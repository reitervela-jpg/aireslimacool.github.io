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Perfil" sheetId="2" state="visible" r:id="rId2"/>
    <sheet xmlns:r="http://schemas.openxmlformats.org/officeDocument/2006/relationships" name="Compras" sheetId="3" state="visible" r:id="rId3"/>
    <sheet xmlns:r="http://schemas.openxmlformats.org/officeDocument/2006/relationships" name="Compras familia" sheetId="4" state="visible" r:id="rId4"/>
    <sheet xmlns:r="http://schemas.openxmlformats.org/officeDocument/2006/relationships" name="Men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000FF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3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9" fontId="3" fillId="0" borderId="0" pivotButton="0" quotePrefix="0" xfId="0"/>
    <xf numFmtId="1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Seguimiento semanal (celdas en azul = datos que ustedes ingresan)</t>
        </is>
      </c>
    </row>
    <row r="2">
      <c r="A2" t="inlineStr">
        <is>
          <t>Pesar en ayunas, misma báscula y ropa. Cintura a la altura del ombligo.</t>
        </is>
      </c>
    </row>
    <row r="4" ht="45" customHeight="1">
      <c r="A4" s="2" t="inlineStr">
        <is>
          <t>Semana</t>
        </is>
      </c>
      <c r="B4" s="2" t="inlineStr">
        <is>
          <t>Fecha</t>
        </is>
      </c>
      <c r="C4" s="2" t="inlineStr">
        <is>
          <t>Peso él (kg)</t>
        </is>
      </c>
      <c r="D4" s="2" t="inlineStr">
        <is>
          <t>Peso ella (kg)</t>
        </is>
      </c>
      <c r="E4" s="2" t="inlineStr">
        <is>
          <t>Cintura él (cm)</t>
        </is>
      </c>
      <c r="F4" s="2" t="inlineStr">
        <is>
          <t>Cintura ella (cm)</t>
        </is>
      </c>
      <c r="G4" s="2" t="inlineStr">
        <is>
          <t>Días cumplidos (0-7)</t>
        </is>
      </c>
      <c r="H4" s="2" t="inlineStr">
        <is>
          <t>Gasto real compra (S/)</t>
        </is>
      </c>
      <c r="I4" s="2" t="inlineStr">
        <is>
          <t>Hambre (1-5)</t>
        </is>
      </c>
      <c r="J4" s="2" t="inlineStr">
        <is>
          <t>Energía (1-5)</t>
        </is>
      </c>
      <c r="K4" s="2" t="inlineStr">
        <is>
          <t>Sueño (1-5)</t>
        </is>
      </c>
      <c r="L4" s="2" t="inlineStr">
        <is>
          <t>Δ peso él vs semana ant.</t>
        </is>
      </c>
      <c r="M4" s="2" t="inlineStr">
        <is>
          <t>Δ peso ella vs semana ant.</t>
        </is>
      </c>
      <c r="N4" s="2" t="inlineStr">
        <is>
          <t>Δ acumulado él</t>
        </is>
      </c>
      <c r="O4" s="2" t="inlineStr">
        <is>
          <t>Δ acumulado ella</t>
        </is>
      </c>
      <c r="P4" s="2" t="inlineStr">
        <is>
          <t>% cumplimiento</t>
        </is>
      </c>
    </row>
    <row r="5">
      <c r="A5" t="n">
        <v>0</v>
      </c>
      <c r="B5" s="3" t="n"/>
      <c r="C5" s="4">
        <f>Perfil!B3</f>
        <v/>
      </c>
      <c r="D5" s="4">
        <f>Perfil!C3</f>
        <v/>
      </c>
      <c r="E5" s="5" t="n"/>
      <c r="F5" s="5" t="n"/>
      <c r="G5" s="5" t="n"/>
      <c r="H5" s="5" t="n"/>
      <c r="I5" s="5" t="n"/>
      <c r="J5" s="5" t="n"/>
      <c r="K5" s="5" t="n"/>
      <c r="L5" s="6" t="n"/>
      <c r="M5" s="6" t="n"/>
      <c r="N5" s="6">
        <f>IF(AND(C5&lt;&gt;"",$C$5&lt;&gt;""),C5-$C$5,"")</f>
        <v/>
      </c>
      <c r="O5" s="6">
        <f>IF(AND(D5&lt;&gt;"",$D$5&lt;&gt;""),D5-$D$5,"")</f>
        <v/>
      </c>
      <c r="P5" s="7">
        <f>IF(G5&lt;&gt;"",G5/7,"")</f>
        <v/>
      </c>
    </row>
    <row r="6">
      <c r="A6" t="n">
        <v>1</v>
      </c>
      <c r="B6" s="3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>
        <f>IF(AND(C6&lt;&gt;"",C5&lt;&gt;""),C6-C5,"")</f>
        <v/>
      </c>
      <c r="M6" s="6">
        <f>IF(AND(D6&lt;&gt;"",D5&lt;&gt;""),D6-D5,"")</f>
        <v/>
      </c>
      <c r="N6" s="6">
        <f>IF(AND(C6&lt;&gt;"",$C$5&lt;&gt;""),C6-$C$5,"")</f>
        <v/>
      </c>
      <c r="O6" s="6">
        <f>IF(AND(D6&lt;&gt;"",$D$5&lt;&gt;""),D6-$D$5,"")</f>
        <v/>
      </c>
      <c r="P6" s="7">
        <f>IF(G6&lt;&gt;"",G6/7,"")</f>
        <v/>
      </c>
    </row>
    <row r="7">
      <c r="A7" t="n">
        <v>2</v>
      </c>
      <c r="B7" s="3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>
        <f>IF(AND(C7&lt;&gt;"",C6&lt;&gt;""),C7-C6,"")</f>
        <v/>
      </c>
      <c r="M7" s="6">
        <f>IF(AND(D7&lt;&gt;"",D6&lt;&gt;""),D7-D6,"")</f>
        <v/>
      </c>
      <c r="N7" s="6">
        <f>IF(AND(C7&lt;&gt;"",$C$5&lt;&gt;""),C7-$C$5,"")</f>
        <v/>
      </c>
      <c r="O7" s="6">
        <f>IF(AND(D7&lt;&gt;"",$D$5&lt;&gt;""),D7-$D$5,"")</f>
        <v/>
      </c>
      <c r="P7" s="7">
        <f>IF(G7&lt;&gt;"",G7/7,"")</f>
        <v/>
      </c>
    </row>
    <row r="8">
      <c r="A8" t="n">
        <v>3</v>
      </c>
      <c r="B8" s="3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>
        <f>IF(AND(C8&lt;&gt;"",C7&lt;&gt;""),C8-C7,"")</f>
        <v/>
      </c>
      <c r="M8" s="6">
        <f>IF(AND(D8&lt;&gt;"",D7&lt;&gt;""),D8-D7,"")</f>
        <v/>
      </c>
      <c r="N8" s="6">
        <f>IF(AND(C8&lt;&gt;"",$C$5&lt;&gt;""),C8-$C$5,"")</f>
        <v/>
      </c>
      <c r="O8" s="6">
        <f>IF(AND(D8&lt;&gt;"",$D$5&lt;&gt;""),D8-$D$5,"")</f>
        <v/>
      </c>
      <c r="P8" s="7">
        <f>IF(G8&lt;&gt;"",G8/7,"")</f>
        <v/>
      </c>
    </row>
    <row r="9">
      <c r="A9" t="n">
        <v>4</v>
      </c>
      <c r="B9" s="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>
        <f>IF(AND(C9&lt;&gt;"",C8&lt;&gt;""),C9-C8,"")</f>
        <v/>
      </c>
      <c r="M9" s="6">
        <f>IF(AND(D9&lt;&gt;"",D8&lt;&gt;""),D9-D8,"")</f>
        <v/>
      </c>
      <c r="N9" s="6">
        <f>IF(AND(C9&lt;&gt;"",$C$5&lt;&gt;""),C9-$C$5,"")</f>
        <v/>
      </c>
      <c r="O9" s="6">
        <f>IF(AND(D9&lt;&gt;"",$D$5&lt;&gt;""),D9-$D$5,"")</f>
        <v/>
      </c>
      <c r="P9" s="7">
        <f>IF(G9&lt;&gt;"",G9/7,"")</f>
        <v/>
      </c>
    </row>
    <row r="10">
      <c r="A10" t="n">
        <v>5</v>
      </c>
      <c r="B10" s="3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>
        <f>IF(AND(C10&lt;&gt;"",C9&lt;&gt;""),C10-C9,"")</f>
        <v/>
      </c>
      <c r="M10" s="6">
        <f>IF(AND(D10&lt;&gt;"",D9&lt;&gt;""),D10-D9,"")</f>
        <v/>
      </c>
      <c r="N10" s="6">
        <f>IF(AND(C10&lt;&gt;"",$C$5&lt;&gt;""),C10-$C$5,"")</f>
        <v/>
      </c>
      <c r="O10" s="6">
        <f>IF(AND(D10&lt;&gt;"",$D$5&lt;&gt;""),D10-$D$5,"")</f>
        <v/>
      </c>
      <c r="P10" s="7">
        <f>IF(G10&lt;&gt;"",G10/7,"")</f>
        <v/>
      </c>
    </row>
    <row r="11">
      <c r="A11" t="n">
        <v>6</v>
      </c>
      <c r="B11" s="3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>
        <f>IF(AND(C11&lt;&gt;"",C10&lt;&gt;""),C11-C10,"")</f>
        <v/>
      </c>
      <c r="M11" s="6">
        <f>IF(AND(D11&lt;&gt;"",D10&lt;&gt;""),D11-D10,"")</f>
        <v/>
      </c>
      <c r="N11" s="6">
        <f>IF(AND(C11&lt;&gt;"",$C$5&lt;&gt;""),C11-$C$5,"")</f>
        <v/>
      </c>
      <c r="O11" s="6">
        <f>IF(AND(D11&lt;&gt;"",$D$5&lt;&gt;""),D11-$D$5,"")</f>
        <v/>
      </c>
      <c r="P11" s="7">
        <f>IF(G11&lt;&gt;"",G11/7,"")</f>
        <v/>
      </c>
    </row>
    <row r="12">
      <c r="A12" t="n">
        <v>7</v>
      </c>
      <c r="B12" s="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>
        <f>IF(AND(C12&lt;&gt;"",C11&lt;&gt;""),C12-C11,"")</f>
        <v/>
      </c>
      <c r="M12" s="6">
        <f>IF(AND(D12&lt;&gt;"",D11&lt;&gt;""),D12-D11,"")</f>
        <v/>
      </c>
      <c r="N12" s="6">
        <f>IF(AND(C12&lt;&gt;"",$C$5&lt;&gt;""),C12-$C$5,"")</f>
        <v/>
      </c>
      <c r="O12" s="6">
        <f>IF(AND(D12&lt;&gt;"",$D$5&lt;&gt;""),D12-$D$5,"")</f>
        <v/>
      </c>
      <c r="P12" s="7">
        <f>IF(G12&lt;&gt;"",G12/7,"")</f>
        <v/>
      </c>
    </row>
    <row r="13">
      <c r="A13" t="n">
        <v>8</v>
      </c>
      <c r="B13" s="3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">
        <f>IF(AND(C13&lt;&gt;"",C12&lt;&gt;""),C13-C12,"")</f>
        <v/>
      </c>
      <c r="M13" s="6">
        <f>IF(AND(D13&lt;&gt;"",D12&lt;&gt;""),D13-D12,"")</f>
        <v/>
      </c>
      <c r="N13" s="6">
        <f>IF(AND(C13&lt;&gt;"",$C$5&lt;&gt;""),C13-$C$5,"")</f>
        <v/>
      </c>
      <c r="O13" s="6">
        <f>IF(AND(D13&lt;&gt;"",$D$5&lt;&gt;""),D13-$D$5,"")</f>
        <v/>
      </c>
      <c r="P13" s="7">
        <f>IF(G13&lt;&gt;"",G13/7,"")</f>
        <v/>
      </c>
    </row>
    <row r="14">
      <c r="A14" t="n">
        <v>9</v>
      </c>
      <c r="B14" s="3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>
        <f>IF(AND(C14&lt;&gt;"",C13&lt;&gt;""),C14-C13,"")</f>
        <v/>
      </c>
      <c r="M14" s="6">
        <f>IF(AND(D14&lt;&gt;"",D13&lt;&gt;""),D14-D13,"")</f>
        <v/>
      </c>
      <c r="N14" s="6">
        <f>IF(AND(C14&lt;&gt;"",$C$5&lt;&gt;""),C14-$C$5,"")</f>
        <v/>
      </c>
      <c r="O14" s="6">
        <f>IF(AND(D14&lt;&gt;"",$D$5&lt;&gt;""),D14-$D$5,"")</f>
        <v/>
      </c>
      <c r="P14" s="7">
        <f>IF(G14&lt;&gt;"",G14/7,"")</f>
        <v/>
      </c>
    </row>
    <row r="15">
      <c r="A15" t="n">
        <v>10</v>
      </c>
      <c r="B15" s="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>
        <f>IF(AND(C15&lt;&gt;"",C14&lt;&gt;""),C15-C14,"")</f>
        <v/>
      </c>
      <c r="M15" s="6">
        <f>IF(AND(D15&lt;&gt;"",D14&lt;&gt;""),D15-D14,"")</f>
        <v/>
      </c>
      <c r="N15" s="6">
        <f>IF(AND(C15&lt;&gt;"",$C$5&lt;&gt;""),C15-$C$5,"")</f>
        <v/>
      </c>
      <c r="O15" s="6">
        <f>IF(AND(D15&lt;&gt;"",$D$5&lt;&gt;""),D15-$D$5,"")</f>
        <v/>
      </c>
      <c r="P15" s="7">
        <f>IF(G15&lt;&gt;"",G15/7,"")</f>
        <v/>
      </c>
    </row>
    <row r="16">
      <c r="A16" t="n">
        <v>11</v>
      </c>
      <c r="B16" s="3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>
        <f>IF(AND(C16&lt;&gt;"",C15&lt;&gt;""),C16-C15,"")</f>
        <v/>
      </c>
      <c r="M16" s="6">
        <f>IF(AND(D16&lt;&gt;"",D15&lt;&gt;""),D16-D15,"")</f>
        <v/>
      </c>
      <c r="N16" s="6">
        <f>IF(AND(C16&lt;&gt;"",$C$5&lt;&gt;""),C16-$C$5,"")</f>
        <v/>
      </c>
      <c r="O16" s="6">
        <f>IF(AND(D16&lt;&gt;"",$D$5&lt;&gt;""),D16-$D$5,"")</f>
        <v/>
      </c>
      <c r="P16" s="7">
        <f>IF(G16&lt;&gt;"",G16/7,"")</f>
        <v/>
      </c>
    </row>
    <row r="17">
      <c r="A17" t="n">
        <v>12</v>
      </c>
      <c r="B17" s="3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6">
        <f>IF(AND(C17&lt;&gt;"",C16&lt;&gt;""),C17-C16,"")</f>
        <v/>
      </c>
      <c r="M17" s="6">
        <f>IF(AND(D17&lt;&gt;"",D16&lt;&gt;""),D17-D16,"")</f>
        <v/>
      </c>
      <c r="N17" s="6">
        <f>IF(AND(C17&lt;&gt;"",$C$5&lt;&gt;""),C17-$C$5,"")</f>
        <v/>
      </c>
      <c r="O17" s="6">
        <f>IF(AND(D17&lt;&gt;"",$D$5&lt;&gt;""),D17-$D$5,"")</f>
        <v/>
      </c>
      <c r="P17" s="7">
        <f>IF(G17&lt;&gt;"",G17/7,"")</f>
        <v/>
      </c>
    </row>
    <row r="19">
      <c r="A19" t="inlineStr">
        <is>
          <t>Semana 0 = punto de partida. Revisar cada 3-4 semanas con el promedio, no con un solo día.</t>
        </is>
      </c>
    </row>
    <row r="20">
      <c r="A20" t="inlineStr">
        <is>
          <t>Promedio de pérdida por semana (él)</t>
        </is>
      </c>
      <c r="E20" s="8">
        <f>IFERROR(-(LOOKUP(2,1/(C5:C17&lt;&gt;""),C5:C17)-C5)/COUNT(C6:C17),"")</f>
        <v/>
      </c>
    </row>
    <row r="21">
      <c r="A21" t="inlineStr">
        <is>
          <t>Promedio de pérdida por semana (ella)</t>
        </is>
      </c>
      <c r="E21" s="8">
        <f>IFERROR(-(LOOKUP(2,1/(D5:D17&lt;&gt;""),D5:D17)-D5)/COUNT(D6:D17),"")</f>
        <v/>
      </c>
    </row>
    <row r="22">
      <c r="A22" t="inlineStr">
        <is>
          <t>Gasto promedio semanal (S/)</t>
        </is>
      </c>
      <c r="E22" s="8">
        <f>IFERROR(AVERAGE(H5:H17),"")</f>
        <v/>
      </c>
    </row>
    <row r="23">
      <c r="A23" t="inlineStr">
        <is>
          <t>Cumplimiento promedio</t>
        </is>
      </c>
      <c r="E23" s="7">
        <f>IFERROR(AVERAGE(P5:P17),"")</f>
        <v/>
      </c>
    </row>
    <row r="24">
      <c r="A24" t="inlineStr">
        <is>
          <t>Guía de ajuste: &lt;0,25 kg/sem durante 3 sem → bajar 100-150 kcal o sumar pasos; &gt;1 kg/sem sostenido → subir calorías. Consultar al médico.</t>
        </is>
      </c>
    </row>
  </sheetData>
  <dataValidations count="2">
    <dataValidation sqref="G5:G17" showDropDown="0" showInputMessage="0" showErrorMessage="0" allowBlank="0" type="whole" operator="between">
      <formula1>0</formula1>
      <formula2>7</formula2>
    </dataValidation>
    <dataValidation sqref="I5:K17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2" t="inlineStr">
        <is>
          <t>Dato</t>
        </is>
      </c>
      <c r="B1" s="2" t="inlineStr">
        <is>
          <t>Él</t>
        </is>
      </c>
      <c r="C1" s="2" t="inlineStr">
        <is>
          <t>Ella</t>
        </is>
      </c>
    </row>
    <row r="2">
      <c r="A2" t="inlineStr">
        <is>
          <t>Edad</t>
        </is>
      </c>
      <c r="B2" s="5" t="n">
        <v>39</v>
      </c>
      <c r="C2" s="5" t="n">
        <v>39</v>
      </c>
    </row>
    <row r="3">
      <c r="A3" t="inlineStr">
        <is>
          <t>Peso inicial (kg)</t>
        </is>
      </c>
      <c r="B3" t="n">
        <v>76</v>
      </c>
      <c r="C3" t="n">
        <v>86</v>
      </c>
    </row>
    <row r="4">
      <c r="A4" t="inlineStr">
        <is>
          <t>Talla (cm)</t>
        </is>
      </c>
      <c r="B4" s="5" t="n">
        <v>160</v>
      </c>
      <c r="C4" s="5" t="n">
        <v>150</v>
      </c>
    </row>
    <row r="5">
      <c r="A5" t="inlineStr">
        <is>
          <t>Sexo (1=H, 0=M)</t>
        </is>
      </c>
      <c r="B5" s="5" t="n">
        <v>1</v>
      </c>
      <c r="C5" s="5" t="n">
        <v>0</v>
      </c>
    </row>
    <row r="6">
      <c r="A6" t="inlineStr">
        <is>
          <t>Factor actividad (1,2 sedentario / 1,375 ligero)</t>
        </is>
      </c>
      <c r="B6" s="5" t="n">
        <v>1.2</v>
      </c>
      <c r="C6" s="5" t="n">
        <v>1.2</v>
      </c>
    </row>
    <row r="7">
      <c r="A7" t="inlineStr">
        <is>
          <t>Déficit (%)</t>
        </is>
      </c>
      <c r="B7" s="9" t="n">
        <v>0.2</v>
      </c>
      <c r="C7" s="9" t="n">
        <v>0.2</v>
      </c>
    </row>
    <row r="9">
      <c r="A9" t="inlineStr">
        <is>
          <t>IMC</t>
        </is>
      </c>
      <c r="B9" s="6">
        <f>IFERROR(B3/(B4/100)^2,"")</f>
        <v/>
      </c>
      <c r="C9" s="6">
        <f>IFERROR(C3/(C4/100)^2,"")</f>
        <v/>
      </c>
    </row>
    <row r="10">
      <c r="A10" t="inlineStr">
        <is>
          <t>Gasto basal Mifflin-St Jeor (kcal)</t>
        </is>
      </c>
      <c r="B10" s="10">
        <f>10*B3+6.25*B4-5*B2+IF(B5=1,5,-161)</f>
        <v/>
      </c>
      <c r="C10" s="10">
        <f>10*C3+6.25*C4-5*C2+IF(C5=1,5,-161)</f>
        <v/>
      </c>
    </row>
    <row r="11">
      <c r="A11" t="inlineStr">
        <is>
          <t>Gasto total estimado (kcal)</t>
        </is>
      </c>
      <c r="B11" s="10">
        <f>B10*B6</f>
        <v/>
      </c>
      <c r="C11" s="10">
        <f>C10*C6</f>
        <v/>
      </c>
    </row>
    <row r="12">
      <c r="A12" t="inlineStr">
        <is>
          <t>Meta de calorías con déficit (kcal)</t>
        </is>
      </c>
      <c r="B12" s="10">
        <f>B11*(1-B7)</f>
        <v/>
      </c>
      <c r="C12" s="10">
        <f>C11*(1-C7)</f>
        <v/>
      </c>
    </row>
    <row r="13">
      <c r="A13" t="inlineStr">
        <is>
          <t>Proteína objetivo (g, ~1,3 g/kg)</t>
        </is>
      </c>
      <c r="B13" s="10">
        <f>B3*1.3</f>
        <v/>
      </c>
      <c r="C13" s="10">
        <f>C3*1.3</f>
        <v/>
      </c>
    </row>
    <row r="15">
      <c r="A15" t="inlineStr">
        <is>
          <t>Estimaciones orientativas; los valores definitivos los define su médico/nutricionista. No bajar de ~1 200 kcal (ella) / ~1 500 kcal (él) sin supervisión.</t>
        </is>
      </c>
    </row>
    <row r="16">
      <c r="A16" t="inlineStr">
        <is>
          <t>Nota: para ella la proteína por peso real da un valor alto; usar ~80-95 g (peso ajustado) salvo indicación médica.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>
      <c r="A1" s="2" t="inlineStr">
        <is>
          <t>Categoría</t>
        </is>
      </c>
      <c r="B1" s="2" t="inlineStr">
        <is>
          <t>Producto</t>
        </is>
      </c>
      <c r="C1" s="2" t="inlineStr">
        <is>
          <t>Cantidad</t>
        </is>
      </c>
      <c r="D1" s="2" t="inlineStr">
        <is>
          <t>Estimado (S/)</t>
        </is>
      </c>
      <c r="E1" s="2" t="inlineStr">
        <is>
          <t>Real (S/)</t>
        </is>
      </c>
      <c r="F1" s="2" t="inlineStr">
        <is>
          <t>Tienda</t>
        </is>
      </c>
      <c r="G1" s="2" t="inlineStr">
        <is>
          <t>Diferencia (S/)</t>
        </is>
      </c>
    </row>
    <row r="2">
      <c r="A2" t="inlineStr">
        <is>
          <t>Proteínas</t>
        </is>
      </c>
      <c r="B2" t="inlineStr">
        <is>
          <t>Pechuga de pollo</t>
        </is>
      </c>
      <c r="C2" t="inlineStr">
        <is>
          <t>1,3 kg</t>
        </is>
      </c>
      <c r="D2" s="8" t="n">
        <v>24</v>
      </c>
      <c r="E2" s="11" t="n"/>
      <c r="F2" s="5" t="n"/>
      <c r="G2" s="8">
        <f>IF(E2="","",E2-D2)</f>
        <v/>
      </c>
    </row>
    <row r="3">
      <c r="A3" t="inlineStr">
        <is>
          <t>Proteínas</t>
        </is>
      </c>
      <c r="B3" t="inlineStr">
        <is>
          <t>Pescado fresco</t>
        </is>
      </c>
      <c r="C3" t="inlineStr">
        <is>
          <t>1,1 kg</t>
        </is>
      </c>
      <c r="D3" s="8" t="n">
        <v>18</v>
      </c>
      <c r="E3" s="11" t="n"/>
      <c r="F3" s="5" t="n"/>
      <c r="G3" s="8">
        <f>IF(E3="","",E3-D3)</f>
        <v/>
      </c>
    </row>
    <row r="4">
      <c r="A4" t="inlineStr">
        <is>
          <t>Proteínas</t>
        </is>
      </c>
      <c r="B4" t="inlineStr">
        <is>
          <t>Atún en agua</t>
        </is>
      </c>
      <c r="C4" t="inlineStr">
        <is>
          <t>2 latas</t>
        </is>
      </c>
      <c r="D4" s="8" t="n">
        <v>11</v>
      </c>
      <c r="E4" s="11" t="n"/>
      <c r="F4" s="5" t="n"/>
      <c r="G4" s="8">
        <f>IF(E4="","",E4-D4)</f>
        <v/>
      </c>
    </row>
    <row r="5">
      <c r="A5" t="inlineStr">
        <is>
          <t>Proteínas</t>
        </is>
      </c>
      <c r="B5" t="inlineStr">
        <is>
          <t>Huevos</t>
        </is>
      </c>
      <c r="C5" t="inlineStr">
        <is>
          <t>2 docenas</t>
        </is>
      </c>
      <c r="D5" s="8" t="n">
        <v>17</v>
      </c>
      <c r="E5" s="11" t="n"/>
      <c r="F5" s="5" t="n"/>
      <c r="G5" s="8">
        <f>IF(E5="","",E5-D5)</f>
        <v/>
      </c>
    </row>
    <row r="6">
      <c r="A6" t="inlineStr">
        <is>
          <t>Lácteos</t>
        </is>
      </c>
      <c r="B6" t="inlineStr">
        <is>
          <t>Queso fresco</t>
        </is>
      </c>
      <c r="C6" t="inlineStr">
        <is>
          <t>250 g</t>
        </is>
      </c>
      <c r="D6" s="8" t="n">
        <v>7</v>
      </c>
      <c r="E6" s="11" t="n"/>
      <c r="F6" s="5" t="n"/>
      <c r="G6" s="8">
        <f>IF(E6="","",E6-D6)</f>
        <v/>
      </c>
    </row>
    <row r="7">
      <c r="A7" t="inlineStr">
        <is>
          <t>Lácteos</t>
        </is>
      </c>
      <c r="B7" t="inlineStr">
        <is>
          <t>Yogur natural sin azúcar</t>
        </is>
      </c>
      <c r="C7" t="inlineStr">
        <is>
          <t>1 kg</t>
        </is>
      </c>
      <c r="D7" s="8" t="n">
        <v>11</v>
      </c>
      <c r="E7" s="11" t="n"/>
      <c r="F7" s="5" t="n"/>
      <c r="G7" s="8">
        <f>IF(E7="","",E7-D7)</f>
        <v/>
      </c>
    </row>
    <row r="8">
      <c r="A8" t="inlineStr">
        <is>
          <t>Lácteos</t>
        </is>
      </c>
      <c r="B8" t="inlineStr">
        <is>
          <t>Leche descremada</t>
        </is>
      </c>
      <c r="C8" t="inlineStr">
        <is>
          <t>1 L</t>
        </is>
      </c>
      <c r="D8" s="8" t="n">
        <v>5</v>
      </c>
      <c r="E8" s="11" t="n"/>
      <c r="F8" s="5" t="n"/>
      <c r="G8" s="8">
        <f>IF(E8="","",E8-D8)</f>
        <v/>
      </c>
    </row>
    <row r="9">
      <c r="A9" t="inlineStr">
        <is>
          <t>Granos</t>
        </is>
      </c>
      <c r="B9" t="inlineStr">
        <is>
          <t>Lentejas</t>
        </is>
      </c>
      <c r="C9" t="inlineStr">
        <is>
          <t>500 g</t>
        </is>
      </c>
      <c r="D9" s="8" t="n">
        <v>4.5</v>
      </c>
      <c r="E9" s="11" t="n"/>
      <c r="F9" s="5" t="n"/>
      <c r="G9" s="8">
        <f>IF(E9="","",E9-D9)</f>
        <v/>
      </c>
    </row>
    <row r="10">
      <c r="A10" t="inlineStr">
        <is>
          <t>Granos</t>
        </is>
      </c>
      <c r="B10" t="inlineStr">
        <is>
          <t>Frejoles</t>
        </is>
      </c>
      <c r="C10" t="inlineStr">
        <is>
          <t>500 g</t>
        </is>
      </c>
      <c r="D10" s="8" t="n">
        <v>6</v>
      </c>
      <c r="E10" s="11" t="n"/>
      <c r="F10" s="5" t="n"/>
      <c r="G10" s="8">
        <f>IF(E10="","",E10-D10)</f>
        <v/>
      </c>
    </row>
    <row r="11">
      <c r="A11" t="inlineStr">
        <is>
          <t>Granos</t>
        </is>
      </c>
      <c r="B11" t="inlineStr">
        <is>
          <t>Quinua</t>
        </is>
      </c>
      <c r="C11" t="inlineStr">
        <is>
          <t>250 g</t>
        </is>
      </c>
      <c r="D11" s="8" t="n">
        <v>7</v>
      </c>
      <c r="E11" s="11" t="n"/>
      <c r="F11" s="5" t="n"/>
      <c r="G11" s="8">
        <f>IF(E11="","",E11-D11)</f>
        <v/>
      </c>
    </row>
    <row r="12">
      <c r="A12" t="inlineStr">
        <is>
          <t>Granos</t>
        </is>
      </c>
      <c r="B12" t="inlineStr">
        <is>
          <t>Arroz integral</t>
        </is>
      </c>
      <c r="C12" t="inlineStr">
        <is>
          <t>500 g</t>
        </is>
      </c>
      <c r="D12" s="8" t="n">
        <v>5</v>
      </c>
      <c r="E12" s="11" t="n"/>
      <c r="F12" s="5" t="n"/>
      <c r="G12" s="8">
        <f>IF(E12="","",E12-D12)</f>
        <v/>
      </c>
    </row>
    <row r="13">
      <c r="A13" t="inlineStr">
        <is>
          <t>Granos</t>
        </is>
      </c>
      <c r="B13" t="inlineStr">
        <is>
          <t>Avena</t>
        </is>
      </c>
      <c r="C13" t="inlineStr">
        <is>
          <t>400 g</t>
        </is>
      </c>
      <c r="D13" s="8" t="n">
        <v>4</v>
      </c>
      <c r="E13" s="11" t="n"/>
      <c r="F13" s="5" t="n"/>
      <c r="G13" s="8">
        <f>IF(E13="","",E13-D13)</f>
        <v/>
      </c>
    </row>
    <row r="14">
      <c r="A14" t="inlineStr">
        <is>
          <t>Granos</t>
        </is>
      </c>
      <c r="B14" t="inlineStr">
        <is>
          <t>Pan integral</t>
        </is>
      </c>
      <c r="C14" t="inlineStr">
        <is>
          <t>1 bolsa</t>
        </is>
      </c>
      <c r="D14" s="8" t="n">
        <v>9</v>
      </c>
      <c r="E14" s="11" t="n"/>
      <c r="F14" s="5" t="n"/>
      <c r="G14" s="8">
        <f>IF(E14="","",E14-D14)</f>
        <v/>
      </c>
    </row>
    <row r="15">
      <c r="A15" t="inlineStr">
        <is>
          <t>Verduras</t>
        </is>
      </c>
      <c r="B15" t="inlineStr">
        <is>
          <t>Camote</t>
        </is>
      </c>
      <c r="C15" t="inlineStr">
        <is>
          <t>1 kg</t>
        </is>
      </c>
      <c r="D15" s="8" t="n">
        <v>4</v>
      </c>
      <c r="E15" s="11" t="n"/>
      <c r="F15" s="5" t="n"/>
      <c r="G15" s="8">
        <f>IF(E15="","",E15-D15)</f>
        <v/>
      </c>
    </row>
    <row r="16">
      <c r="A16" t="inlineStr">
        <is>
          <t>Verduras</t>
        </is>
      </c>
      <c r="B16" t="inlineStr">
        <is>
          <t>Papa</t>
        </is>
      </c>
      <c r="C16" t="inlineStr">
        <is>
          <t>1 kg</t>
        </is>
      </c>
      <c r="D16" s="8" t="n">
        <v>3</v>
      </c>
      <c r="E16" s="11" t="n"/>
      <c r="F16" s="5" t="n"/>
      <c r="G16" s="8">
        <f>IF(E16="","",E16-D16)</f>
        <v/>
      </c>
    </row>
    <row r="17">
      <c r="A17" t="inlineStr">
        <is>
          <t>Verduras</t>
        </is>
      </c>
      <c r="B17" t="inlineStr">
        <is>
          <t>Tomate</t>
        </is>
      </c>
      <c r="C17" t="inlineStr">
        <is>
          <t>1 kg</t>
        </is>
      </c>
      <c r="D17" s="8" t="n">
        <v>4.5</v>
      </c>
      <c r="E17" s="11" t="n"/>
      <c r="F17" s="5" t="n"/>
      <c r="G17" s="8">
        <f>IF(E17="","",E17-D17)</f>
        <v/>
      </c>
    </row>
    <row r="18">
      <c r="A18" t="inlineStr">
        <is>
          <t>Verduras</t>
        </is>
      </c>
      <c r="B18" t="inlineStr">
        <is>
          <t>Cebolla roja</t>
        </is>
      </c>
      <c r="C18" t="inlineStr">
        <is>
          <t>1 kg</t>
        </is>
      </c>
      <c r="D18" s="8" t="n">
        <v>3.5</v>
      </c>
      <c r="E18" s="11" t="n"/>
      <c r="F18" s="5" t="n"/>
      <c r="G18" s="8">
        <f>IF(E18="","",E18-D18)</f>
        <v/>
      </c>
    </row>
    <row r="19">
      <c r="A19" t="inlineStr">
        <is>
          <t>Verduras</t>
        </is>
      </c>
      <c r="B19" t="inlineStr">
        <is>
          <t>Zanahoria</t>
        </is>
      </c>
      <c r="C19" t="inlineStr">
        <is>
          <t>1 kg</t>
        </is>
      </c>
      <c r="D19" s="8" t="n">
        <v>3</v>
      </c>
      <c r="E19" s="11" t="n"/>
      <c r="F19" s="5" t="n"/>
      <c r="G19" s="8">
        <f>IF(E19="","",E19-D19)</f>
        <v/>
      </c>
    </row>
    <row r="20">
      <c r="A20" t="inlineStr">
        <is>
          <t>Verduras</t>
        </is>
      </c>
      <c r="B20" t="inlineStr">
        <is>
          <t>Espinaca</t>
        </is>
      </c>
      <c r="C20" t="inlineStr">
        <is>
          <t>2 atados</t>
        </is>
      </c>
      <c r="D20" s="8" t="n">
        <v>4</v>
      </c>
      <c r="E20" s="11" t="n"/>
      <c r="F20" s="5" t="n"/>
      <c r="G20" s="8">
        <f>IF(E20="","",E20-D20)</f>
        <v/>
      </c>
    </row>
    <row r="21">
      <c r="A21" t="inlineStr">
        <is>
          <t>Verduras</t>
        </is>
      </c>
      <c r="B21" t="inlineStr">
        <is>
          <t>Brócoli</t>
        </is>
      </c>
      <c r="C21" t="inlineStr">
        <is>
          <t>1 unidad</t>
        </is>
      </c>
      <c r="D21" s="8" t="n">
        <v>5</v>
      </c>
      <c r="E21" s="11" t="n"/>
      <c r="F21" s="5" t="n"/>
      <c r="G21" s="8">
        <f>IF(E21="","",E21-D21)</f>
        <v/>
      </c>
    </row>
    <row r="22">
      <c r="A22" t="inlineStr">
        <is>
          <t>Verduras</t>
        </is>
      </c>
      <c r="B22" t="inlineStr">
        <is>
          <t>Zapallo</t>
        </is>
      </c>
      <c r="C22" t="inlineStr">
        <is>
          <t>500 g</t>
        </is>
      </c>
      <c r="D22" s="8" t="n">
        <v>2</v>
      </c>
      <c r="E22" s="11" t="n"/>
      <c r="F22" s="5" t="n"/>
      <c r="G22" s="8">
        <f>IF(E22="","",E22-D22)</f>
        <v/>
      </c>
    </row>
    <row r="23">
      <c r="A23" t="inlineStr">
        <is>
          <t>Verduras</t>
        </is>
      </c>
      <c r="B23" t="inlineStr">
        <is>
          <t>Lechuga</t>
        </is>
      </c>
      <c r="C23" t="inlineStr">
        <is>
          <t>1</t>
        </is>
      </c>
      <c r="D23" s="8" t="n">
        <v>3</v>
      </c>
      <c r="E23" s="11" t="n"/>
      <c r="F23" s="5" t="n"/>
      <c r="G23" s="8">
        <f>IF(E23="","",E23-D23)</f>
        <v/>
      </c>
    </row>
    <row r="24">
      <c r="A24" t="inlineStr">
        <is>
          <t>Verduras</t>
        </is>
      </c>
      <c r="B24" t="inlineStr">
        <is>
          <t>Pepino</t>
        </is>
      </c>
      <c r="C24" t="inlineStr">
        <is>
          <t>3</t>
        </is>
      </c>
      <c r="D24" s="8" t="n">
        <v>3</v>
      </c>
      <c r="E24" s="11" t="n"/>
      <c r="F24" s="5" t="n"/>
      <c r="G24" s="8">
        <f>IF(E24="","",E24-D24)</f>
        <v/>
      </c>
    </row>
    <row r="25">
      <c r="A25" t="inlineStr">
        <is>
          <t>Verduras</t>
        </is>
      </c>
      <c r="B25" t="inlineStr">
        <is>
          <t>Arvejas</t>
        </is>
      </c>
      <c r="C25" t="inlineStr">
        <is>
          <t>250 g</t>
        </is>
      </c>
      <c r="D25" s="8" t="n">
        <v>3</v>
      </c>
      <c r="E25" s="11" t="n"/>
      <c r="F25" s="5" t="n"/>
      <c r="G25" s="8">
        <f>IF(E25="","",E25-D25)</f>
        <v/>
      </c>
    </row>
    <row r="26">
      <c r="A26" t="inlineStr">
        <is>
          <t>Verduras</t>
        </is>
      </c>
      <c r="B26" t="inlineStr">
        <is>
          <t>Limones</t>
        </is>
      </c>
      <c r="C26" t="inlineStr">
        <is>
          <t>500 g</t>
        </is>
      </c>
      <c r="D26" s="8" t="n">
        <v>4</v>
      </c>
      <c r="E26" s="11" t="n"/>
      <c r="F26" s="5" t="n"/>
      <c r="G26" s="8">
        <f>IF(E26="","",E26-D26)</f>
        <v/>
      </c>
    </row>
    <row r="27">
      <c r="A27" t="inlineStr">
        <is>
          <t>Verduras</t>
        </is>
      </c>
      <c r="B27" t="inlineStr">
        <is>
          <t>Palta</t>
        </is>
      </c>
      <c r="C27" t="inlineStr">
        <is>
          <t>4 unidades</t>
        </is>
      </c>
      <c r="D27" s="8" t="n">
        <v>11</v>
      </c>
      <c r="E27" s="11" t="n"/>
      <c r="F27" s="5" t="n"/>
      <c r="G27" s="8">
        <f>IF(E27="","",E27-D27)</f>
        <v/>
      </c>
    </row>
    <row r="28">
      <c r="A28" t="inlineStr">
        <is>
          <t>Verduras</t>
        </is>
      </c>
      <c r="B28" t="inlineStr">
        <is>
          <t>Ajo, culantro, perejil, ají amarillo, comino</t>
        </is>
      </c>
      <c r="C28" t="inlineStr">
        <is>
          <t>varios</t>
        </is>
      </c>
      <c r="D28" s="8" t="n">
        <v>10</v>
      </c>
      <c r="E28" s="11" t="n"/>
      <c r="F28" s="5" t="n"/>
      <c r="G28" s="8">
        <f>IF(E28="","",E28-D28)</f>
        <v/>
      </c>
    </row>
    <row r="29">
      <c r="A29" t="inlineStr">
        <is>
          <t>Fruta</t>
        </is>
      </c>
      <c r="B29" t="inlineStr">
        <is>
          <t>Plátano de seda</t>
        </is>
      </c>
      <c r="C29" t="inlineStr">
        <is>
          <t>≈12</t>
        </is>
      </c>
      <c r="D29" s="8" t="n">
        <v>6</v>
      </c>
      <c r="E29" s="11" t="n"/>
      <c r="F29" s="5" t="n"/>
      <c r="G29" s="8">
        <f>IF(E29="","",E29-D29)</f>
        <v/>
      </c>
    </row>
    <row r="30">
      <c r="A30" t="inlineStr">
        <is>
          <t>Fruta</t>
        </is>
      </c>
      <c r="B30" t="inlineStr">
        <is>
          <t>Manzana</t>
        </is>
      </c>
      <c r="C30" t="inlineStr">
        <is>
          <t>1 kg</t>
        </is>
      </c>
      <c r="D30" s="8" t="n">
        <v>7</v>
      </c>
      <c r="E30" s="11" t="n"/>
      <c r="F30" s="5" t="n"/>
      <c r="G30" s="8">
        <f>IF(E30="","",E30-D30)</f>
        <v/>
      </c>
    </row>
    <row r="31">
      <c r="A31" t="inlineStr">
        <is>
          <t>Fruta</t>
        </is>
      </c>
      <c r="B31" t="inlineStr">
        <is>
          <t>Papaya</t>
        </is>
      </c>
      <c r="C31" t="inlineStr">
        <is>
          <t>1 mediana</t>
        </is>
      </c>
      <c r="D31" s="8" t="n">
        <v>7</v>
      </c>
      <c r="E31" s="11" t="n"/>
      <c r="F31" s="5" t="n"/>
      <c r="G31" s="8">
        <f>IF(E31="","",E31-D31)</f>
        <v/>
      </c>
    </row>
    <row r="32">
      <c r="A32" t="inlineStr">
        <is>
          <t>Fruta</t>
        </is>
      </c>
      <c r="B32" t="inlineStr">
        <is>
          <t>Mandarina</t>
        </is>
      </c>
      <c r="C32" t="inlineStr">
        <is>
          <t>1 kg</t>
        </is>
      </c>
      <c r="D32" s="8" t="n">
        <v>4.5</v>
      </c>
      <c r="E32" s="11" t="n"/>
      <c r="F32" s="5" t="n"/>
      <c r="G32" s="8">
        <f>IF(E32="","",E32-D32)</f>
        <v/>
      </c>
    </row>
    <row r="33">
      <c r="A33" t="inlineStr">
        <is>
          <t>Fruta</t>
        </is>
      </c>
      <c r="B33" t="inlineStr">
        <is>
          <t>Naranja</t>
        </is>
      </c>
      <c r="C33" t="inlineStr">
        <is>
          <t>1 kg</t>
        </is>
      </c>
      <c r="D33" s="8" t="n">
        <v>3.5</v>
      </c>
      <c r="E33" s="11" t="n"/>
      <c r="F33" s="5" t="n"/>
      <c r="G33" s="8">
        <f>IF(E33="","",E33-D33)</f>
        <v/>
      </c>
    </row>
    <row r="34">
      <c r="A34" t="inlineStr">
        <is>
          <t>Grasas</t>
        </is>
      </c>
      <c r="B34" t="inlineStr">
        <is>
          <t>Aceite de oliva extra virgen</t>
        </is>
      </c>
      <c r="C34" t="inlineStr">
        <is>
          <t>250 ml</t>
        </is>
      </c>
      <c r="D34" s="8" t="n">
        <v>22</v>
      </c>
      <c r="E34" s="11" t="n"/>
      <c r="F34" s="5" t="n"/>
      <c r="G34" s="8">
        <f>IF(E34="","",E34-D34)</f>
        <v/>
      </c>
    </row>
    <row r="35">
      <c r="A35" t="inlineStr">
        <is>
          <t>Grasas</t>
        </is>
      </c>
      <c r="B35" t="inlineStr">
        <is>
          <t>Maní tostado sin sal</t>
        </is>
      </c>
      <c r="C35" t="inlineStr">
        <is>
          <t>150 g</t>
        </is>
      </c>
      <c r="D35" s="8" t="n">
        <v>5</v>
      </c>
      <c r="E35" s="11" t="n"/>
      <c r="F35" s="5" t="n"/>
      <c r="G35" s="8">
        <f>IF(E35="","",E35-D35)</f>
        <v/>
      </c>
    </row>
    <row r="36">
      <c r="B36" s="12" t="inlineStr">
        <is>
          <t>TOTAL</t>
        </is>
      </c>
      <c r="D36" s="8">
        <f>SUM(D2:D35)</f>
        <v/>
      </c>
      <c r="E36" s="8">
        <f>SUM(E2:E35)</f>
        <v/>
      </c>
      <c r="G36" s="8">
        <f>IF(E36=0,"",E36-D36)</f>
        <v/>
      </c>
    </row>
    <row r="38">
      <c r="A38" t="inlineStr">
        <is>
          <t>Precios estimados (no consultados en vivo). Anote el precio real y la tienda para calibrar la futura calculadora de la app.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>
      <c r="A1" s="14" t="inlineStr">
        <is>
          <t>Categoría</t>
        </is>
      </c>
      <c r="B1" s="14" t="inlineStr">
        <is>
          <t>Producto</t>
        </is>
      </c>
      <c r="C1" s="14" t="inlineStr">
        <is>
          <t>Cantidad</t>
        </is>
      </c>
      <c r="D1" s="14" t="inlineStr">
        <is>
          <t>Estimado (S/)</t>
        </is>
      </c>
      <c r="E1" s="14" t="inlineStr">
        <is>
          <t>Real (S/)</t>
        </is>
      </c>
      <c r="F1" s="14" t="inlineStr">
        <is>
          <t>Tienda</t>
        </is>
      </c>
      <c r="G1" s="14" t="inlineStr">
        <is>
          <t>Diferencia (S/)</t>
        </is>
      </c>
    </row>
    <row r="2">
      <c r="A2" t="inlineStr">
        <is>
          <t>Proteínas y lácteos</t>
        </is>
      </c>
      <c r="B2" t="inlineStr">
        <is>
          <t>Pollo (1 kg pechuga + 2 kg pierna/muslo + extra)</t>
        </is>
      </c>
      <c r="C2" t="inlineStr">
        <is>
          <t>4 kg</t>
        </is>
      </c>
      <c r="D2" s="8" t="n">
        <v>58</v>
      </c>
      <c r="E2" s="11" t="n"/>
      <c r="F2" s="5" t="n"/>
      <c r="G2" s="8">
        <f>IF(E2="","",E2-D2)</f>
        <v/>
      </c>
    </row>
    <row r="3">
      <c r="A3" t="inlineStr">
        <is>
          <t>Proteínas y lácteos</t>
        </is>
      </c>
      <c r="B3" t="inlineStr">
        <is>
          <t>Pescado fresco (jurel/caballa/bonito)</t>
        </is>
      </c>
      <c r="C3" t="inlineStr">
        <is>
          <t>2,5 kg</t>
        </is>
      </c>
      <c r="D3" s="8" t="n">
        <v>40</v>
      </c>
      <c r="E3" s="11" t="n"/>
      <c r="F3" s="5" t="n"/>
      <c r="G3" s="8">
        <f>IF(E3="","",E3-D3)</f>
        <v/>
      </c>
    </row>
    <row r="4">
      <c r="A4" t="inlineStr">
        <is>
          <t>Proteínas y lácteos</t>
        </is>
      </c>
      <c r="B4" t="inlineStr">
        <is>
          <t>Atún en agua</t>
        </is>
      </c>
      <c r="C4" t="inlineStr">
        <is>
          <t>6 latas</t>
        </is>
      </c>
      <c r="D4" s="8" t="n">
        <v>33</v>
      </c>
      <c r="E4" s="11" t="n"/>
      <c r="F4" s="5" t="n"/>
      <c r="G4" s="8">
        <f>IF(E4="","",E4-D4)</f>
        <v/>
      </c>
    </row>
    <row r="5">
      <c r="A5" t="inlineStr">
        <is>
          <t>Proteínas y lácteos</t>
        </is>
      </c>
      <c r="B5" t="inlineStr">
        <is>
          <t>Carne de res (bistec o molida magra)</t>
        </is>
      </c>
      <c r="C5" t="inlineStr">
        <is>
          <t>1 kg</t>
        </is>
      </c>
      <c r="D5" s="8" t="n">
        <v>28</v>
      </c>
      <c r="E5" s="11" t="n"/>
      <c r="F5" s="5" t="n"/>
      <c r="G5" s="8">
        <f>IF(E5="","",E5-D5)</f>
        <v/>
      </c>
    </row>
    <row r="6">
      <c r="A6" t="inlineStr">
        <is>
          <t>Proteínas y lácteos</t>
        </is>
      </c>
      <c r="B6" t="inlineStr">
        <is>
          <t>Huevos</t>
        </is>
      </c>
      <c r="C6" t="inlineStr">
        <is>
          <t>6 docenas</t>
        </is>
      </c>
      <c r="D6" s="8" t="n">
        <v>51</v>
      </c>
      <c r="E6" s="11" t="n"/>
      <c r="F6" s="5" t="n"/>
      <c r="G6" s="8">
        <f>IF(E6="","",E6-D6)</f>
        <v/>
      </c>
    </row>
    <row r="7">
      <c r="A7" t="inlineStr">
        <is>
          <t>Proteínas y lácteos</t>
        </is>
      </c>
      <c r="B7" t="inlineStr">
        <is>
          <t>Queso fresco</t>
        </is>
      </c>
      <c r="C7" t="inlineStr">
        <is>
          <t>750 g</t>
        </is>
      </c>
      <c r="D7" s="8" t="n">
        <v>19</v>
      </c>
      <c r="E7" s="11" t="n"/>
      <c r="F7" s="5" t="n"/>
      <c r="G7" s="8">
        <f>IF(E7="","",E7-D7)</f>
        <v/>
      </c>
    </row>
    <row r="8">
      <c r="A8" t="inlineStr">
        <is>
          <t>Proteínas y lácteos</t>
        </is>
      </c>
      <c r="B8" t="inlineStr">
        <is>
          <t>Yogur natural sin azúcar</t>
        </is>
      </c>
      <c r="C8" t="inlineStr">
        <is>
          <t>3 kg</t>
        </is>
      </c>
      <c r="D8" s="8" t="n">
        <v>33</v>
      </c>
      <c r="E8" s="11" t="n"/>
      <c r="F8" s="5" t="n"/>
      <c r="G8" s="8">
        <f>IF(E8="","",E8-D8)</f>
        <v/>
      </c>
    </row>
    <row r="9">
      <c r="A9" t="inlineStr">
        <is>
          <t>Proteínas y lácteos</t>
        </is>
      </c>
      <c r="B9" t="inlineStr">
        <is>
          <t>Leche (UHT o fresca)</t>
        </is>
      </c>
      <c r="C9" t="inlineStr">
        <is>
          <t>8 L</t>
        </is>
      </c>
      <c r="D9" s="8" t="n">
        <v>40</v>
      </c>
      <c r="E9" s="11" t="n"/>
      <c r="F9" s="5" t="n"/>
      <c r="G9" s="8">
        <f>IF(E9="","",E9-D9)</f>
        <v/>
      </c>
    </row>
    <row r="10">
      <c r="A10" t="inlineStr">
        <is>
          <t>Menestras y granos</t>
        </is>
      </c>
      <c r="B10" t="inlineStr">
        <is>
          <t>Lentejas</t>
        </is>
      </c>
      <c r="C10" t="inlineStr">
        <is>
          <t>1 kg</t>
        </is>
      </c>
      <c r="D10" s="8" t="n">
        <v>9</v>
      </c>
      <c r="E10" s="11" t="n"/>
      <c r="F10" s="5" t="n"/>
      <c r="G10" s="8">
        <f>IF(E10="","",E10-D10)</f>
        <v/>
      </c>
    </row>
    <row r="11">
      <c r="A11" t="inlineStr">
        <is>
          <t>Menestras y granos</t>
        </is>
      </c>
      <c r="B11" t="inlineStr">
        <is>
          <t>Frejoles</t>
        </is>
      </c>
      <c r="C11" t="inlineStr">
        <is>
          <t>1 kg</t>
        </is>
      </c>
      <c r="D11" s="8" t="n">
        <v>12</v>
      </c>
      <c r="E11" s="11" t="n"/>
      <c r="F11" s="5" t="n"/>
      <c r="G11" s="8">
        <f>IF(E11="","",E11-D11)</f>
        <v/>
      </c>
    </row>
    <row r="12">
      <c r="A12" t="inlineStr">
        <is>
          <t>Menestras y granos</t>
        </is>
      </c>
      <c r="B12" t="inlineStr">
        <is>
          <t>Quinua</t>
        </is>
      </c>
      <c r="C12" t="inlineStr">
        <is>
          <t>750 g</t>
        </is>
      </c>
      <c r="D12" s="8" t="n">
        <v>21</v>
      </c>
      <c r="E12" s="11" t="n"/>
      <c r="F12" s="5" t="n"/>
      <c r="G12" s="8">
        <f>IF(E12="","",E12-D12)</f>
        <v/>
      </c>
    </row>
    <row r="13">
      <c r="A13" t="inlineStr">
        <is>
          <t>Menestras y granos</t>
        </is>
      </c>
      <c r="B13" t="inlineStr">
        <is>
          <t>Arroz integral</t>
        </is>
      </c>
      <c r="C13" t="inlineStr">
        <is>
          <t>1,5 kg</t>
        </is>
      </c>
      <c r="D13" s="8" t="n">
        <v>15</v>
      </c>
      <c r="E13" s="11" t="n"/>
      <c r="F13" s="5" t="n"/>
      <c r="G13" s="8">
        <f>IF(E13="","",E13-D13)</f>
        <v/>
      </c>
    </row>
    <row r="14">
      <c r="A14" t="inlineStr">
        <is>
          <t>Menestras y granos</t>
        </is>
      </c>
      <c r="B14" t="inlineStr">
        <is>
          <t>Arroz blanco</t>
        </is>
      </c>
      <c r="C14" t="inlineStr">
        <is>
          <t>2 kg</t>
        </is>
      </c>
      <c r="D14" s="8" t="n">
        <v>9</v>
      </c>
      <c r="E14" s="11" t="n"/>
      <c r="F14" s="5" t="n"/>
      <c r="G14" s="8">
        <f>IF(E14="","",E14-D14)</f>
        <v/>
      </c>
    </row>
    <row r="15">
      <c r="A15" t="inlineStr">
        <is>
          <t>Menestras y granos</t>
        </is>
      </c>
      <c r="B15" t="inlineStr">
        <is>
          <t>Avena en hojuelas</t>
        </is>
      </c>
      <c r="C15" t="inlineStr">
        <is>
          <t>1,2 kg</t>
        </is>
      </c>
      <c r="D15" s="8" t="n">
        <v>12</v>
      </c>
      <c r="E15" s="11" t="n"/>
      <c r="F15" s="5" t="n"/>
      <c r="G15" s="8">
        <f>IF(E15="","",E15-D15)</f>
        <v/>
      </c>
    </row>
    <row r="16">
      <c r="A16" t="inlineStr">
        <is>
          <t>Menestras y granos</t>
        </is>
      </c>
      <c r="B16" t="inlineStr">
        <is>
          <t>Pan integral</t>
        </is>
      </c>
      <c r="C16" t="inlineStr">
        <is>
          <t>3 bolsas</t>
        </is>
      </c>
      <c r="D16" s="8" t="n">
        <v>27</v>
      </c>
      <c r="E16" s="11" t="n"/>
      <c r="F16" s="5" t="n"/>
      <c r="G16" s="8">
        <f>IF(E16="","",E16-D16)</f>
        <v/>
      </c>
    </row>
    <row r="17">
      <c r="A17" t="inlineStr">
        <is>
          <t>Menestras y granos</t>
        </is>
      </c>
      <c r="B17" t="inlineStr">
        <is>
          <t>Fideos / pasta</t>
        </is>
      </c>
      <c r="C17" t="inlineStr">
        <is>
          <t>1 kg</t>
        </is>
      </c>
      <c r="D17" s="8" t="n">
        <v>8</v>
      </c>
      <c r="E17" s="11" t="n"/>
      <c r="F17" s="5" t="n"/>
      <c r="G17" s="8">
        <f>IF(E17="","",E17-D17)</f>
        <v/>
      </c>
    </row>
    <row r="18">
      <c r="A18" t="inlineStr">
        <is>
          <t>Verduras y tubérculos</t>
        </is>
      </c>
      <c r="B18" t="inlineStr">
        <is>
          <t>Camote</t>
        </is>
      </c>
      <c r="C18" t="inlineStr">
        <is>
          <t>3 kg</t>
        </is>
      </c>
      <c r="D18" s="8" t="n">
        <v>12</v>
      </c>
      <c r="E18" s="11" t="n"/>
      <c r="F18" s="5" t="n"/>
      <c r="G18" s="8">
        <f>IF(E18="","",E18-D18)</f>
        <v/>
      </c>
    </row>
    <row r="19">
      <c r="A19" t="inlineStr">
        <is>
          <t>Verduras y tubérculos</t>
        </is>
      </c>
      <c r="B19" t="inlineStr">
        <is>
          <t>Papa</t>
        </is>
      </c>
      <c r="C19" t="inlineStr">
        <is>
          <t>4 kg</t>
        </is>
      </c>
      <c r="D19" s="8" t="n">
        <v>12</v>
      </c>
      <c r="E19" s="11" t="n"/>
      <c r="F19" s="5" t="n"/>
      <c r="G19" s="8">
        <f>IF(E19="","",E19-D19)</f>
        <v/>
      </c>
    </row>
    <row r="20">
      <c r="A20" t="inlineStr">
        <is>
          <t>Verduras y tubérculos</t>
        </is>
      </c>
      <c r="B20" t="inlineStr">
        <is>
          <t>Tomate</t>
        </is>
      </c>
      <c r="C20" t="inlineStr">
        <is>
          <t>3 kg</t>
        </is>
      </c>
      <c r="D20" s="8" t="n">
        <v>13.5</v>
      </c>
      <c r="E20" s="11" t="n"/>
      <c r="F20" s="5" t="n"/>
      <c r="G20" s="8">
        <f>IF(E20="","",E20-D20)</f>
        <v/>
      </c>
    </row>
    <row r="21">
      <c r="A21" t="inlineStr">
        <is>
          <t>Verduras y tubérculos</t>
        </is>
      </c>
      <c r="B21" t="inlineStr">
        <is>
          <t>Cebolla roja</t>
        </is>
      </c>
      <c r="C21" t="inlineStr">
        <is>
          <t>3 kg</t>
        </is>
      </c>
      <c r="D21" s="8" t="n">
        <v>10.5</v>
      </c>
      <c r="E21" s="11" t="n"/>
      <c r="F21" s="5" t="n"/>
      <c r="G21" s="8">
        <f>IF(E21="","",E21-D21)</f>
        <v/>
      </c>
    </row>
    <row r="22">
      <c r="A22" t="inlineStr">
        <is>
          <t>Verduras y tubérculos</t>
        </is>
      </c>
      <c r="B22" t="inlineStr">
        <is>
          <t>Zanahoria</t>
        </is>
      </c>
      <c r="C22" t="inlineStr">
        <is>
          <t>2,5 kg</t>
        </is>
      </c>
      <c r="D22" s="8" t="n">
        <v>7.5</v>
      </c>
      <c r="E22" s="11" t="n"/>
      <c r="F22" s="5" t="n"/>
      <c r="G22" s="8">
        <f>IF(E22="","",E22-D22)</f>
        <v/>
      </c>
    </row>
    <row r="23">
      <c r="A23" t="inlineStr">
        <is>
          <t>Verduras y tubérculos</t>
        </is>
      </c>
      <c r="B23" t="inlineStr">
        <is>
          <t>Espinaca</t>
        </is>
      </c>
      <c r="C23" t="inlineStr">
        <is>
          <t>5 atados</t>
        </is>
      </c>
      <c r="D23" s="8" t="n">
        <v>10</v>
      </c>
      <c r="E23" s="11" t="n"/>
      <c r="F23" s="5" t="n"/>
      <c r="G23" s="8">
        <f>IF(E23="","",E23-D23)</f>
        <v/>
      </c>
    </row>
    <row r="24">
      <c r="A24" t="inlineStr">
        <is>
          <t>Verduras y tubérculos</t>
        </is>
      </c>
      <c r="B24" t="inlineStr">
        <is>
          <t>Brócoli</t>
        </is>
      </c>
      <c r="C24" t="inlineStr">
        <is>
          <t>3 unidades</t>
        </is>
      </c>
      <c r="D24" s="8" t="n">
        <v>15</v>
      </c>
      <c r="E24" s="11" t="n"/>
      <c r="F24" s="5" t="n"/>
      <c r="G24" s="8">
        <f>IF(E24="","",E24-D24)</f>
        <v/>
      </c>
    </row>
    <row r="25">
      <c r="A25" t="inlineStr">
        <is>
          <t>Verduras y tubérculos</t>
        </is>
      </c>
      <c r="B25" t="inlineStr">
        <is>
          <t>Zapallo</t>
        </is>
      </c>
      <c r="C25" t="inlineStr">
        <is>
          <t>1,5 kg</t>
        </is>
      </c>
      <c r="D25" s="8" t="n">
        <v>6</v>
      </c>
      <c r="E25" s="11" t="n"/>
      <c r="F25" s="5" t="n"/>
      <c r="G25" s="8">
        <f>IF(E25="","",E25-D25)</f>
        <v/>
      </c>
    </row>
    <row r="26">
      <c r="A26" t="inlineStr">
        <is>
          <t>Verduras y tubérculos</t>
        </is>
      </c>
      <c r="B26" t="inlineStr">
        <is>
          <t>Choclo</t>
        </is>
      </c>
      <c r="C26" t="inlineStr">
        <is>
          <t>4 unidades</t>
        </is>
      </c>
      <c r="D26" s="8" t="n">
        <v>8</v>
      </c>
      <c r="E26" s="11" t="n"/>
      <c r="F26" s="5" t="n"/>
      <c r="G26" s="8">
        <f>IF(E26="","",E26-D26)</f>
        <v/>
      </c>
    </row>
    <row r="27">
      <c r="A27" t="inlineStr">
        <is>
          <t>Verduras y tubérculos</t>
        </is>
      </c>
      <c r="B27" t="inlineStr">
        <is>
          <t>Lechuga</t>
        </is>
      </c>
      <c r="C27" t="inlineStr">
        <is>
          <t>3</t>
        </is>
      </c>
      <c r="D27" s="8" t="n">
        <v>9</v>
      </c>
      <c r="E27" s="11" t="n"/>
      <c r="F27" s="5" t="n"/>
      <c r="G27" s="8">
        <f>IF(E27="","",E27-D27)</f>
        <v/>
      </c>
    </row>
    <row r="28">
      <c r="A28" t="inlineStr">
        <is>
          <t>Verduras y tubérculos</t>
        </is>
      </c>
      <c r="B28" t="inlineStr">
        <is>
          <t>Pepino</t>
        </is>
      </c>
      <c r="C28" t="inlineStr">
        <is>
          <t>8</t>
        </is>
      </c>
      <c r="D28" s="8" t="n">
        <v>8</v>
      </c>
      <c r="E28" s="11" t="n"/>
      <c r="F28" s="5" t="n"/>
      <c r="G28" s="8">
        <f>IF(E28="","",E28-D28)</f>
        <v/>
      </c>
    </row>
    <row r="29">
      <c r="A29" t="inlineStr">
        <is>
          <t>Verduras y tubérculos</t>
        </is>
      </c>
      <c r="B29" t="inlineStr">
        <is>
          <t>Arvejas</t>
        </is>
      </c>
      <c r="C29" t="inlineStr">
        <is>
          <t>750 g</t>
        </is>
      </c>
      <c r="D29" s="8" t="n">
        <v>9</v>
      </c>
      <c r="E29" s="11" t="n"/>
      <c r="F29" s="5" t="n"/>
      <c r="G29" s="8">
        <f>IF(E29="","",E29-D29)</f>
        <v/>
      </c>
    </row>
    <row r="30">
      <c r="A30" t="inlineStr">
        <is>
          <t>Verduras y tubérculos</t>
        </is>
      </c>
      <c r="B30" t="inlineStr">
        <is>
          <t>Limones</t>
        </is>
      </c>
      <c r="C30" t="inlineStr">
        <is>
          <t>1,5 kg</t>
        </is>
      </c>
      <c r="D30" s="8" t="n">
        <v>12</v>
      </c>
      <c r="E30" s="11" t="n"/>
      <c r="F30" s="5" t="n"/>
      <c r="G30" s="8">
        <f>IF(E30="","",E30-D30)</f>
        <v/>
      </c>
    </row>
    <row r="31">
      <c r="A31" t="inlineStr">
        <is>
          <t>Verduras y tubérculos</t>
        </is>
      </c>
      <c r="B31" t="inlineStr">
        <is>
          <t>Palta</t>
        </is>
      </c>
      <c r="C31" t="inlineStr">
        <is>
          <t>8 unidades</t>
        </is>
      </c>
      <c r="D31" s="8" t="n">
        <v>24</v>
      </c>
      <c r="E31" s="11" t="n"/>
      <c r="F31" s="5" t="n"/>
      <c r="G31" s="8">
        <f>IF(E31="","",E31-D31)</f>
        <v/>
      </c>
    </row>
    <row r="32">
      <c r="A32" t="inlineStr">
        <is>
          <t>Verduras y tubérculos</t>
        </is>
      </c>
      <c r="B32" t="inlineStr">
        <is>
          <t>Ajo, culantro, perejil, ají amarillo</t>
        </is>
      </c>
      <c r="C32" t="inlineStr">
        <is>
          <t>varios</t>
        </is>
      </c>
      <c r="D32" s="8" t="n">
        <v>15</v>
      </c>
      <c r="E32" s="11" t="n"/>
      <c r="F32" s="5" t="n"/>
      <c r="G32" s="8">
        <f>IF(E32="","",E32-D32)</f>
        <v/>
      </c>
    </row>
    <row r="33">
      <c r="A33" t="inlineStr">
        <is>
          <t>Fruta</t>
        </is>
      </c>
      <c r="B33" t="inlineStr">
        <is>
          <t>Plátano de seda</t>
        </is>
      </c>
      <c r="C33" t="inlineStr">
        <is>
          <t>≈30</t>
        </is>
      </c>
      <c r="D33" s="8" t="n">
        <v>15</v>
      </c>
      <c r="E33" s="11" t="n"/>
      <c r="F33" s="5" t="n"/>
      <c r="G33" s="8">
        <f>IF(E33="","",E33-D33)</f>
        <v/>
      </c>
    </row>
    <row r="34">
      <c r="A34" t="inlineStr">
        <is>
          <t>Fruta</t>
        </is>
      </c>
      <c r="B34" t="inlineStr">
        <is>
          <t>Manzana</t>
        </is>
      </c>
      <c r="C34" t="inlineStr">
        <is>
          <t>4 kg</t>
        </is>
      </c>
      <c r="D34" s="8" t="n">
        <v>28</v>
      </c>
      <c r="E34" s="11" t="n"/>
      <c r="F34" s="5" t="n"/>
      <c r="G34" s="8">
        <f>IF(E34="","",E34-D34)</f>
        <v/>
      </c>
    </row>
    <row r="35">
      <c r="A35" t="inlineStr">
        <is>
          <t>Fruta</t>
        </is>
      </c>
      <c r="B35" t="inlineStr">
        <is>
          <t>Papaya</t>
        </is>
      </c>
      <c r="C35" t="inlineStr">
        <is>
          <t>3 medianas</t>
        </is>
      </c>
      <c r="D35" s="8" t="n">
        <v>21</v>
      </c>
      <c r="E35" s="11" t="n"/>
      <c r="F35" s="5" t="n"/>
      <c r="G35" s="8">
        <f>IF(E35="","",E35-D35)</f>
        <v/>
      </c>
    </row>
    <row r="36">
      <c r="A36" t="inlineStr">
        <is>
          <t>Fruta</t>
        </is>
      </c>
      <c r="B36" t="inlineStr">
        <is>
          <t>Mandarina</t>
        </is>
      </c>
      <c r="C36" t="inlineStr">
        <is>
          <t>3 kg</t>
        </is>
      </c>
      <c r="D36" s="8" t="n">
        <v>13.5</v>
      </c>
      <c r="E36" s="11" t="n"/>
      <c r="F36" s="5" t="n"/>
      <c r="G36" s="8">
        <f>IF(E36="","",E36-D36)</f>
        <v/>
      </c>
    </row>
    <row r="37">
      <c r="A37" t="inlineStr">
        <is>
          <t>Fruta</t>
        </is>
      </c>
      <c r="B37" t="inlineStr">
        <is>
          <t>Naranja</t>
        </is>
      </c>
      <c r="C37" t="inlineStr">
        <is>
          <t>3 kg</t>
        </is>
      </c>
      <c r="D37" s="8" t="n">
        <v>10.5</v>
      </c>
      <c r="E37" s="11" t="n"/>
      <c r="F37" s="5" t="n"/>
      <c r="G37" s="8">
        <f>IF(E37="","",E37-D37)</f>
        <v/>
      </c>
    </row>
    <row r="38">
      <c r="A38" t="inlineStr">
        <is>
          <t>Fruta</t>
        </is>
      </c>
      <c r="B38" t="inlineStr">
        <is>
          <t>Fruta de temporada (uvas, fresas, piña)</t>
        </is>
      </c>
      <c r="C38" t="inlineStr">
        <is>
          <t>2 kg</t>
        </is>
      </c>
      <c r="D38" s="8" t="n">
        <v>14</v>
      </c>
      <c r="E38" s="11" t="n"/>
      <c r="F38" s="5" t="n"/>
      <c r="G38" s="8">
        <f>IF(E38="","",E38-D38)</f>
        <v/>
      </c>
    </row>
    <row r="39">
      <c r="A39" t="inlineStr">
        <is>
          <t>Grasas y frutos secos</t>
        </is>
      </c>
      <c r="B39" t="inlineStr">
        <is>
          <t>Aceite de oliva extra virgen</t>
        </is>
      </c>
      <c r="C39" t="inlineStr">
        <is>
          <t>250 ml</t>
        </is>
      </c>
      <c r="D39" s="8" t="n">
        <v>22</v>
      </c>
      <c r="E39" s="11" t="n"/>
      <c r="F39" s="5" t="n"/>
      <c r="G39" s="8">
        <f>IF(E39="","",E39-D39)</f>
        <v/>
      </c>
    </row>
    <row r="40">
      <c r="A40" t="inlineStr">
        <is>
          <t>Grasas y frutos secos</t>
        </is>
      </c>
      <c r="B40" t="inlineStr">
        <is>
          <t>Aceite vegetal</t>
        </is>
      </c>
      <c r="C40" t="inlineStr">
        <is>
          <t>1 L</t>
        </is>
      </c>
      <c r="D40" s="8" t="n">
        <v>11</v>
      </c>
      <c r="E40" s="11" t="n"/>
      <c r="F40" s="5" t="n"/>
      <c r="G40" s="8">
        <f>IF(E40="","",E40-D40)</f>
        <v/>
      </c>
    </row>
    <row r="41">
      <c r="A41" t="inlineStr">
        <is>
          <t>Grasas y frutos secos</t>
        </is>
      </c>
      <c r="B41" t="inlineStr">
        <is>
          <t>Maní tostado sin sal</t>
        </is>
      </c>
      <c r="C41" t="inlineStr">
        <is>
          <t>600 g</t>
        </is>
      </c>
      <c r="D41" s="8" t="n">
        <v>20</v>
      </c>
      <c r="E41" s="11" t="n"/>
      <c r="F41" s="5" t="n"/>
      <c r="G41" s="8">
        <f>IF(E41="","",E41-D41)</f>
        <v/>
      </c>
    </row>
    <row r="42">
      <c r="A42" t="inlineStr">
        <is>
          <t>Grasas y frutos secos</t>
        </is>
      </c>
      <c r="B42" t="inlineStr">
        <is>
          <t>Mantequilla de maní natural</t>
        </is>
      </c>
      <c r="C42" t="inlineStr">
        <is>
          <t>1 frasco</t>
        </is>
      </c>
      <c r="D42" s="8" t="n">
        <v>18</v>
      </c>
      <c r="E42" s="11" t="n"/>
      <c r="F42" s="5" t="n"/>
      <c r="G42" s="8">
        <f>IF(E42="","",E42-D42)</f>
        <v/>
      </c>
    </row>
    <row r="43">
      <c r="A43" t="inlineStr">
        <is>
          <t>Despensa y antojos controlados</t>
        </is>
      </c>
      <c r="B43" t="inlineStr">
        <is>
          <t>Condimentos (sal, comino, orégano, ají panca)</t>
        </is>
      </c>
      <c r="C43" t="inlineStr">
        <is>
          <t>varios</t>
        </is>
      </c>
      <c r="D43" s="8" t="n">
        <v>10</v>
      </c>
      <c r="E43" s="11" t="n"/>
      <c r="F43" s="5" t="n"/>
      <c r="G43" s="8">
        <f>IF(E43="","",E43-D43)</f>
        <v/>
      </c>
    </row>
    <row r="44">
      <c r="A44" t="inlineStr">
        <is>
          <t>Despensa y antojos controlados</t>
        </is>
      </c>
      <c r="B44" t="inlineStr">
        <is>
          <t>Azúcar</t>
        </is>
      </c>
      <c r="C44" t="inlineStr">
        <is>
          <t>1 kg</t>
        </is>
      </c>
      <c r="D44" s="8" t="n">
        <v>4.5</v>
      </c>
      <c r="E44" s="11" t="n"/>
      <c r="F44" s="5" t="n"/>
      <c r="G44" s="8">
        <f>IF(E44="","",E44-D44)</f>
        <v/>
      </c>
    </row>
    <row r="45">
      <c r="A45" t="inlineStr">
        <is>
          <t>Despensa y antojos controlados</t>
        </is>
      </c>
      <c r="B45" t="inlineStr">
        <is>
          <t>Antojos: galletas integrales, chocolate amargo, canchita</t>
        </is>
      </c>
      <c r="C45" t="inlineStr">
        <is>
          <t>presupuesto</t>
        </is>
      </c>
      <c r="D45" s="8" t="n">
        <v>25</v>
      </c>
      <c r="E45" s="11" t="n"/>
      <c r="F45" s="5" t="n"/>
      <c r="G45" s="8">
        <f>IF(E45="","",E45-D45)</f>
        <v/>
      </c>
    </row>
    <row r="46">
      <c r="B46" s="12" t="inlineStr">
        <is>
          <t>TOTAL</t>
        </is>
      </c>
      <c r="D46" s="8">
        <f>SUM(D2:D45)</f>
        <v/>
      </c>
      <c r="E46" s="8">
        <f>SUM(E2:E45)</f>
        <v/>
      </c>
      <c r="G46" s="8">
        <f>IF(E46=0,"",E46-D46)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40" customWidth="1" min="3" max="3"/>
    <col width="28" customWidth="1" min="4" max="4"/>
    <col width="38" customWidth="1" min="5" max="5"/>
  </cols>
  <sheetData>
    <row r="1">
      <c r="A1" s="2" t="inlineStr">
        <is>
          <t>Día</t>
        </is>
      </c>
      <c r="B1" s="2" t="inlineStr">
        <is>
          <t>Desayuno</t>
        </is>
      </c>
      <c r="C1" s="2" t="inlineStr">
        <is>
          <t>Almuerzo</t>
        </is>
      </c>
      <c r="D1" s="2" t="inlineStr">
        <is>
          <t>Media tarde</t>
        </is>
      </c>
      <c r="E1" s="2" t="inlineStr">
        <is>
          <t>Cena</t>
        </is>
      </c>
    </row>
    <row r="2">
      <c r="A2" s="13" t="n">
        <v>1</v>
      </c>
      <c r="B2" s="13" t="inlineStr">
        <is>
          <t>Avena con leche, plátano, huevo duro</t>
        </is>
      </c>
      <c r="C2" s="13" t="inlineStr">
        <is>
          <t>Pollo al horno, ½ taza quinua, ensalada</t>
        </is>
      </c>
      <c r="D2" s="13" t="inlineStr">
        <is>
          <t>Manzana + 15 g maní</t>
        </is>
      </c>
      <c r="E2" s="13" t="inlineStr">
        <is>
          <t>Lentejas guisadas, huevo, ensalada</t>
        </is>
      </c>
    </row>
    <row r="3">
      <c r="A3" s="13" t="n">
        <v>2</v>
      </c>
      <c r="B3" s="13" t="inlineStr">
        <is>
          <t>Pan integral con palta, huevo revuelto, papaya</t>
        </is>
      </c>
      <c r="C3" s="13" t="inlineStr">
        <is>
          <t>Pescado al horno, camote chico, ensalada</t>
        </is>
      </c>
      <c r="D3" s="13" t="inlineStr">
        <is>
          <t>Yogur natural</t>
        </is>
      </c>
      <c r="E3" s="13" t="inlineStr">
        <is>
          <t>Sopa de verduras con pollo</t>
        </is>
      </c>
    </row>
    <row r="4">
      <c r="A4" s="13" t="n">
        <v>3</v>
      </c>
      <c r="B4" s="13" t="inlineStr">
        <is>
          <t>Yogur con 30 g avena y plátano</t>
        </is>
      </c>
      <c r="C4" s="13" t="inlineStr">
        <is>
          <t>Estofado de pollo con arvejas, ½ taza arroz integral</t>
        </is>
      </c>
      <c r="D4" s="13" t="inlineStr">
        <is>
          <t>2 mandarinas + 30 g queso fresco</t>
        </is>
      </c>
      <c r="E4" s="13" t="inlineStr">
        <is>
          <t>Tortilla de 2 huevos con espinaca, camote chico, ensalada</t>
        </is>
      </c>
    </row>
    <row r="5">
      <c r="A5" s="13" t="n">
        <v>4</v>
      </c>
      <c r="B5" s="13" t="inlineStr">
        <is>
          <t>Avena con leche, manzana, huevo duro</t>
        </is>
      </c>
      <c r="C5" s="13" t="inlineStr">
        <is>
          <t>Ensalada de quinua con atún y ¼ palta</t>
        </is>
      </c>
      <c r="D5" s="13" t="inlineStr">
        <is>
          <t>Naranja + 15 g maní</t>
        </is>
      </c>
      <c r="E5" s="13" t="inlineStr">
        <is>
          <t>Frejoles guisados, ensalada, huevo</t>
        </is>
      </c>
    </row>
    <row r="6">
      <c r="A6" s="13" t="n">
        <v>5</v>
      </c>
      <c r="B6" s="13" t="inlineStr">
        <is>
          <t>Pan integral, 40 g queso fresco, tomate, papaya</t>
        </is>
      </c>
      <c r="C6" s="13" t="inlineStr">
        <is>
          <t>Pescado a la plancha, papa sancochada, ensalada</t>
        </is>
      </c>
      <c r="D6" s="13" t="inlineStr">
        <is>
          <t>Yogur natural + plátano</t>
        </is>
      </c>
      <c r="E6" s="13" t="inlineStr">
        <is>
          <t>Aguadito ligero de pollo</t>
        </is>
      </c>
    </row>
    <row r="7">
      <c r="A7" s="13" t="n">
        <v>6</v>
      </c>
      <c r="B7" s="13" t="inlineStr">
        <is>
          <t>Yogur con 30 g avena y fruta</t>
        </is>
      </c>
      <c r="C7" s="13" t="inlineStr">
        <is>
          <t>Pollo salteado con brócoli y ½ taza arroz integral</t>
        </is>
      </c>
      <c r="D7" s="13" t="inlineStr">
        <is>
          <t>Manzana + 15 g maní</t>
        </is>
      </c>
      <c r="E7" s="13" t="inlineStr">
        <is>
          <t>Ensalada fría de lentejas, huevo duro</t>
        </is>
      </c>
    </row>
    <row r="8">
      <c r="A8" s="13" t="n">
        <v>7</v>
      </c>
      <c r="B8" s="13" t="inlineStr">
        <is>
          <t>2 huevos revueltos, pan integral, fruta</t>
        </is>
      </c>
      <c r="C8" s="13" t="inlineStr">
        <is>
          <t>Sudado de pescado, camote chico</t>
        </is>
      </c>
      <c r="D8" s="13" t="inlineStr">
        <is>
          <t>Naranja + 30 g queso fresco</t>
        </is>
      </c>
      <c r="E8" s="13" t="inlineStr">
        <is>
          <t>Sopa de quinua con verduras, huevo</t>
        </is>
      </c>
    </row>
    <row r="10">
      <c r="A10" t="inlineStr">
        <is>
          <t>Él: porción base + 1 pan integral con ¼ palta + 1 fruta extra, y 170-180 g de proteína. Ella: porción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2026-11-01T14:08:48Z</dcterms:created>
  <dcterms:modified xmlns:dcterms="http://purl.org/dc/terms/" xmlns:xsi="http://www.w3.org/2001/XMLSchema-instance" xsi:type="dcterms:W3CDTF">2026-11-01T15:12:41Z</dcterms:modified>
</cp:coreProperties>
</file>